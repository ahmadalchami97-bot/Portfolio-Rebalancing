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ttings" sheetId="1" state="visible" r:id="rId1"/>
    <sheet name="2. Portfolio Inputs" sheetId="2" state="visible" r:id="rId2"/>
    <sheet name="3. Dashboard" sheetId="3" state="visible" r:id="rId3"/>
    <sheet name="4. Capital Deployment" sheetId="4" state="visible" r:id="rId4"/>
    <sheet name="5. Rebalance" sheetId="5" state="visible" r:id="rId5"/>
    <sheet name="6. Performance" sheetId="6" state="visible" r:id="rId6"/>
  </sheets>
  <definedNames>
    <definedName name="Base_Currency">'1. Settings'!$C$5</definedName>
    <definedName name="Rate_USD">'1. Settings'!$C$10</definedName>
    <definedName name="Rate_CHF">'1. Settings'!$C$11</definedName>
    <definedName name="FX_Table">'1. Settings'!$B$10:$C$14</definedName>
    <definedName name="Target_Gold">'1. Settings'!$C$18</definedName>
    <definedName name="Target_Swiss">'1. Settings'!$C$19</definedName>
    <definedName name="Target_SP500">'1. Settings'!$C$20</definedName>
    <definedName name="Target_Bonds">'1. Settings'!$C$21</definedName>
    <definedName name="Target_Total">'1. Settings'!$C$22</definedName>
    <definedName name="Targets">'1. Settings'!$C$18:$C$21</definedName>
    <definedName name="Tol_Band">'1. Settings'!$C$26</definedName>
    <definedName name="Min_Action">'1. Settings'!$C$30</definedName>
    <definedName name="ExpRet_Gold">'1. Settings'!$C$36</definedName>
    <definedName name="ExpRet_Swiss">'1. Settings'!$C$37</definedName>
    <definedName name="ExpRet_SP500">'1. Settings'!$C$38</definedName>
    <definedName name="ExpRet_Bonds">'1. Settings'!$C$39</definedName>
    <definedName name="ExpReturns">'1. Settings'!$C$36:$C$39</definedName>
    <definedName name="MV_Gold">'2. Portfolio Inputs'!$F$7</definedName>
    <definedName name="MV_Swiss">'2. Portfolio Inputs'!$F$8</definedName>
    <definedName name="MV_SP500">'2. Portfolio Inputs'!$F$9</definedName>
    <definedName name="MV_Bonds">'2. Portfolio Inputs'!$F$10</definedName>
    <definedName name="MV_KWD">'2. Portfolio Inputs'!$F$7:$F$10</definedName>
    <definedName name="Portfolio_Total">'2. Portfolio Inputs'!$F$11</definedName>
    <definedName name="New_Capital">'4. Capital Deployment'!$C$3</definedName>
    <definedName name="New_Total">'4. Capital Deployment'!$I$3</definedName>
    <definedName name="Val_Date">'6. Performance'!$C$3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%"/>
    <numFmt numFmtId="166" formatCode="0.0%;[Red]-0.0%"/>
    <numFmt numFmtId="167" formatCode="#,##0;[Red]-#,##0"/>
    <numFmt numFmtId="168" formatCode="yyyy-mm-dd"/>
    <numFmt numFmtId="169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CE3F0"/>
      <sz val="9"/>
    </font>
    <font>
      <name val="Calibri"/>
      <b val="1"/>
      <color rgb="001F3864"/>
      <sz val="11"/>
    </font>
    <font>
      <name val="Calibri"/>
      <color rgb="001F2937"/>
      <sz val="10"/>
    </font>
    <font>
      <name val="Calibri"/>
      <color rgb="007F6000"/>
      <sz val="10"/>
    </font>
    <font>
      <name val="Calibri"/>
      <i val="1"/>
      <color rgb="00595959"/>
      <sz val="9"/>
    </font>
    <font>
      <name val="Calibri"/>
      <b val="1"/>
      <color rgb="001F2937"/>
      <sz val="10"/>
    </font>
    <font>
      <name val="Calibri"/>
      <b val="1"/>
      <color rgb="001F3864"/>
      <sz val="16"/>
    </font>
    <font>
      <name val="Calibri"/>
      <b val="1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6CC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5" fillId="4" borderId="1" applyAlignment="1" applyProtection="1" pivotButton="0" quotePrefix="0" xfId="0">
      <alignment horizontal="right" vertical="center"/>
      <protection locked="0" hidden="0"/>
    </xf>
    <xf numFmtId="165" fontId="5" fillId="4" borderId="1" applyAlignment="1" applyProtection="1" pivotButton="0" quotePrefix="0" xfId="0">
      <alignment horizontal="right" vertical="center"/>
      <protection locked="0" hidden="0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5" fillId="4" borderId="1" applyAlignment="1" applyProtection="1" pivotButton="0" quotePrefix="0" xfId="0">
      <alignment horizontal="right" vertical="center"/>
      <protection locked="0" hidden="0"/>
    </xf>
    <xf numFmtId="0" fontId="4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3" fontId="7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3" fontId="7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7" fontId="7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8" fontId="5" fillId="4" borderId="1" applyAlignment="1" applyProtection="1" pivotButton="0" quotePrefix="0" xfId="0">
      <alignment horizontal="center" vertical="center" wrapText="1"/>
      <protection locked="0" hidden="0"/>
    </xf>
    <xf numFmtId="3" fontId="9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" fontId="5" fillId="4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C00000"/>
      </font>
    </dxf>
    <dxf>
      <font>
        <b val="1"/>
        <color rgb="00375623"/>
      </font>
    </dxf>
    <dxf>
      <font>
        <color rgb="00C00000"/>
      </font>
    </dxf>
    <dxf>
      <font>
        <color rgb="00375623"/>
      </font>
    </dxf>
    <dxf>
      <font>
        <color rgb="005959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Allocation</a:t>
            </a:r>
          </a:p>
        </rich>
      </tx>
    </title>
    <plotArea>
      <pieChart>
        <varyColors val="1"/>
        <ser>
          <idx val="0"/>
          <order val="0"/>
          <tx>
            <strRef>
              <f>'3. Dashboard'!C5</f>
            </strRef>
          </tx>
          <spPr>
            <a:ln>
              <a:prstDash val="solid"/>
            </a:ln>
          </spPr>
          <cat>
            <numRef>
              <f>'3. Dashboard'!$B$6:$B$9</f>
            </numRef>
          </cat>
          <val>
            <numRef>
              <f>'3. Dashboard'!$C$6:$C$9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'3. Dashboard'!E5</f>
            </strRef>
          </tx>
          <spPr>
            <a:ln>
              <a:prstDash val="solid"/>
            </a:ln>
          </spPr>
          <cat>
            <numRef>
              <f>'3. Dashboard'!$B$6:$B$9</f>
            </numRef>
          </cat>
          <val>
            <numRef>
              <f>'3. Dashboard'!$E$6:$E$9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Allocation: Current % vs After Deployment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Capital Deployment'!J5</f>
            </strRef>
          </tx>
          <spPr>
            <a:ln>
              <a:prstDash val="solid"/>
            </a:ln>
          </spPr>
          <cat>
            <numRef>
              <f>'4. Capital Deployment'!$B$6:$B$9</f>
            </numRef>
          </cat>
          <val>
            <numRef>
              <f>'4. Capital Deployment'!$J$6:$J$9</f>
            </numRef>
          </val>
        </ser>
        <ser>
          <idx val="1"/>
          <order val="1"/>
          <tx>
            <strRef>
              <f>'4. Capital Deployment'!I5</f>
            </strRef>
          </tx>
          <spPr>
            <a:ln>
              <a:prstDash val="solid"/>
            </a:ln>
          </spPr>
          <cat>
            <numRef>
              <f>'4. Capital Deployment'!$B$6:$B$9</f>
            </numRef>
          </cat>
          <val>
            <numRef>
              <f>'4. Capital Deployment'!$I$6:$I$9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Value vs Target Value (KWD)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Rebalance'!C5</f>
            </strRef>
          </tx>
          <spPr>
            <a:ln>
              <a:prstDash val="solid"/>
            </a:ln>
          </spPr>
          <cat>
            <numRef>
              <f>'5. Rebalance'!$B$6:$B$9</f>
            </numRef>
          </cat>
          <val>
            <numRef>
              <f>'5. Rebalance'!$C$6:$C$9</f>
            </numRef>
          </val>
        </ser>
        <ser>
          <idx val="1"/>
          <order val="1"/>
          <tx>
            <strRef>
              <f>'5. Rebalance'!E5</f>
            </strRef>
          </tx>
          <spPr>
            <a:ln>
              <a:prstDash val="solid"/>
            </a:ln>
          </spPr>
          <cat>
            <numRef>
              <f>'5. Rebalance'!$B$6:$B$9</f>
            </numRef>
          </cat>
          <val>
            <numRef>
              <f>'5. Rebalance'!$E$6:$E$9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Comparison (1,000,000 KWD)</a:t>
            </a:r>
          </a:p>
        </rich>
      </tx>
    </title>
    <plotArea>
      <lineChart>
        <grouping val="standard"/>
        <ser>
          <idx val="0"/>
          <order val="0"/>
          <tx>
            <strRef>
              <f>'6. Performance'!C48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Performance'!$C$49:$C$59</f>
            </numRef>
          </val>
        </ser>
        <ser>
          <idx val="1"/>
          <order val="1"/>
          <tx>
            <strRef>
              <f>'6. Performance'!D48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Performance'!$D$49:$D$59</f>
            </numRef>
          </val>
        </ser>
        <ser>
          <idx val="2"/>
          <order val="2"/>
          <tx>
            <strRef>
              <f>'6. Performance'!E48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Performance'!$E$49:$E$59</f>
            </numRef>
          </val>
        </ser>
        <ser>
          <idx val="3"/>
          <order val="3"/>
          <tx>
            <strRef>
              <f>'6. Performance'!F48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Performance'!$F$49:$F$59</f>
            </numRef>
          </val>
        </ser>
        <ser>
          <idx val="4"/>
          <order val="4"/>
          <tx>
            <strRef>
              <f>'6. Performance'!G48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Performance'!$G$49:$G$59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(KWD)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Growth (1,000,000 KWD)</a:t>
            </a:r>
          </a:p>
        </rich>
      </tx>
    </title>
    <plotArea>
      <lineChart>
        <grouping val="standard"/>
        <ser>
          <idx val="0"/>
          <order val="0"/>
          <tx>
            <strRef>
              <f>'6. Performance'!G48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Performance'!$B$49:$B$59</f>
            </numRef>
          </cat>
          <val>
            <numRef>
              <f>'6. Performance'!$G$49:$G$59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(KWD)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Ending Value by Asset Class (KWD)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Performance'!G27</f>
            </strRef>
          </tx>
          <spPr>
            <a:ln>
              <a:prstDash val="solid"/>
            </a:ln>
          </spPr>
          <cat>
            <numRef>
              <f>'6. Performance'!$B$28:$B$31</f>
            </numRef>
          </cat>
          <val>
            <numRef>
              <f>'6. Performance'!$G$28:$G$31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38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puts" displayName="tblInputs" ref="B6:F10" headerRowCount="1">
  <autoFilter ref="B6:F10"/>
  <tableColumns count="5">
    <tableColumn id="2" name="Asset Class"/>
    <tableColumn id="3" name="Market Value (FC)"/>
    <tableColumn id="4" name="Currency"/>
    <tableColumn id="5" name="FX Rate (KWD/FC)"/>
    <tableColumn id="6" name="Market Value (KWD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Alloc" displayName="tblAlloc" ref="B5:F9" headerRowCount="1">
  <autoFilter ref="B5:F9"/>
  <tableColumns count="5">
    <tableColumn id="2" name="Asset Class"/>
    <tableColumn id="3" name="Current Value (KWD)"/>
    <tableColumn id="4" name="Current %"/>
    <tableColumn id="5" name="Target %"/>
    <tableColumn id="6" name="Difference %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lDeploy" displayName="tblDeploy" ref="B5:J9" headerRowCount="1">
  <autoFilter ref="B5:J9"/>
  <tableColumns count="9">
    <tableColumn id="2" name="Asset Class"/>
    <tableColumn id="3" name="Current Value (KWD)"/>
    <tableColumn id="4" name="Target %"/>
    <tableColumn id="5" name="Target Value @ New Total"/>
    <tableColumn id="6" name="Gap to Target (KWD)"/>
    <tableColumn id="7" name="Suggested Allocation (KWD)"/>
    <tableColumn id="8" name="Value After (KWD)"/>
    <tableColumn id="9" name="Allocation After %"/>
    <tableColumn id="10" name="Current %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blRebal" displayName="tblRebal" ref="B5:H9" headerRowCount="1">
  <autoFilter ref="B5:H9"/>
  <tableColumns count="7">
    <tableColumn id="2" name="Asset Class"/>
    <tableColumn id="3" name="Current Value (KWD)"/>
    <tableColumn id="4" name="Target %"/>
    <tableColumn id="5" name="Target Value (KWD)"/>
    <tableColumn id="6" name="Difference (KWD)"/>
    <tableColumn id="7" name="Deviation %"/>
    <tableColumn id="8" name="Ac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blPerfA" displayName="tblPerfA" ref="B6:H10" headerRowCount="1">
  <autoFilter ref="B6:H10"/>
  <tableColumns count="7">
    <tableColumn id="2" name="Asset Class"/>
    <tableColumn id="3" name="Initial Value (KWD)"/>
    <tableColumn id="4" name="Initial Date"/>
    <tableColumn id="5" name="Current Value (KWD)"/>
    <tableColumn id="6" name="Gain / Loss (KWD)"/>
    <tableColumn id="7" name="Return %"/>
    <tableColumn id="8" name="CAGR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blPerfC" displayName="tblPerfC" ref="B27:H31" headerRowCount="1">
  <autoFilter ref="B27:H31"/>
  <tableColumns count="7">
    <tableColumn id="2" name="Asset Class"/>
    <tableColumn id="3" name="Allocation %"/>
    <tableColumn id="4" name="Assumed Annual Return %"/>
    <tableColumn id="5" name="Growth Factor"/>
    <tableColumn id="6" name="Start Allocation (KWD)"/>
    <tableColumn id="7" name="Ending Value (KWD)"/>
    <tableColumn id="8" name="Contribution to Return 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0" customWidth="1" min="2" max="2"/>
    <col width="20" customWidth="1" min="3" max="3"/>
    <col width="18" customWidth="1" min="4" max="4"/>
    <col width="14" customWidth="1" min="5" max="5"/>
    <col width="26" customWidth="1" min="6" max="6"/>
  </cols>
  <sheetData>
    <row r="1" ht="26" customHeight="1">
      <c r="B1" s="1" t="inlineStr">
        <is>
          <t>Settings &amp; Assumptions</t>
        </is>
      </c>
      <c r="C1" s="2" t="n"/>
      <c r="D1" s="2" t="n"/>
      <c r="E1" s="2" t="n"/>
      <c r="F1" s="2" t="n"/>
    </row>
    <row r="2">
      <c r="B2" s="3" t="inlineStr">
        <is>
          <t>Central assumptions, FX rates, target allocation and policy. Yellow cells are inputs; all other cells are calculated.</t>
        </is>
      </c>
      <c r="C2" s="2" t="n"/>
      <c r="D2" s="2" t="n"/>
      <c r="E2" s="2" t="n"/>
      <c r="F2" s="2" t="n"/>
    </row>
    <row r="4">
      <c r="B4" s="4" t="inlineStr">
        <is>
          <t>Base Currency</t>
        </is>
      </c>
      <c r="C4" s="5" t="n"/>
      <c r="D4" s="5" t="n"/>
    </row>
    <row r="5">
      <c r="B5" s="6" t="inlineStr">
        <is>
          <t>Base reporting currency</t>
        </is>
      </c>
      <c r="C5" s="7" t="inlineStr">
        <is>
          <t>KWD</t>
        </is>
      </c>
    </row>
    <row r="7">
      <c r="B7" s="4" t="inlineStr">
        <is>
          <t>Exchange Rates</t>
        </is>
      </c>
      <c r="C7" s="5" t="n"/>
      <c r="D7" s="5" t="n"/>
    </row>
    <row r="8">
      <c r="B8" s="8" t="inlineStr">
        <is>
          <t>Enter the KWD value of 1 unit of each foreign currency. Add other currencies in the spare rows as needed.</t>
        </is>
      </c>
    </row>
    <row r="9">
      <c r="B9" s="9" t="inlineStr">
        <is>
          <t>Currency</t>
        </is>
      </c>
      <c r="C9" s="9" t="inlineStr">
        <is>
          <t>Rate (KWD per 1 unit)</t>
        </is>
      </c>
    </row>
    <row r="10">
      <c r="B10" s="7" t="inlineStr">
        <is>
          <t>USD</t>
        </is>
      </c>
      <c r="C10" s="10" t="n">
        <v>0.307</v>
      </c>
    </row>
    <row r="11">
      <c r="B11" s="7" t="inlineStr">
        <is>
          <t>CHF</t>
        </is>
      </c>
      <c r="C11" s="10" t="n">
        <v>0.34</v>
      </c>
    </row>
    <row r="12">
      <c r="B12" s="7" t="inlineStr">
        <is>
          <t>KWD</t>
        </is>
      </c>
      <c r="C12" s="10" t="n">
        <v>1</v>
      </c>
    </row>
    <row r="13">
      <c r="B13" s="7" t="n"/>
      <c r="C13" s="10" t="n"/>
    </row>
    <row r="14">
      <c r="B14" s="7" t="n"/>
      <c r="C14" s="10" t="n"/>
    </row>
    <row r="16">
      <c r="B16" s="4" t="inlineStr">
        <is>
          <t>Strategic Target Allocation</t>
        </is>
      </c>
      <c r="C16" s="5" t="n"/>
      <c r="D16" s="5" t="n"/>
    </row>
    <row r="17">
      <c r="B17" s="9" t="inlineStr">
        <is>
          <t>Asset Class</t>
        </is>
      </c>
      <c r="C17" s="9" t="inlineStr">
        <is>
          <t>Target %</t>
        </is>
      </c>
    </row>
    <row r="18">
      <c r="B18" s="6" t="inlineStr">
        <is>
          <t>Gold</t>
        </is>
      </c>
      <c r="C18" s="11" t="n">
        <v>0.2</v>
      </c>
    </row>
    <row r="19">
      <c r="B19" s="6" t="inlineStr">
        <is>
          <t>Swiss Funds</t>
        </is>
      </c>
      <c r="C19" s="11" t="n">
        <v>0.2</v>
      </c>
    </row>
    <row r="20">
      <c r="B20" s="6" t="inlineStr">
        <is>
          <t>S&amp;P 500 ETFs</t>
        </is>
      </c>
      <c r="C20" s="11" t="n">
        <v>0.4</v>
      </c>
    </row>
    <row r="21">
      <c r="B21" s="6" t="inlineStr">
        <is>
          <t>US Government Bonds</t>
        </is>
      </c>
      <c r="C21" s="11" t="n">
        <v>0.2</v>
      </c>
    </row>
    <row r="22">
      <c r="B22" s="12" t="inlineStr">
        <is>
          <t>Total</t>
        </is>
      </c>
      <c r="C22" s="13">
        <f>SUM(C18:C21)</f>
        <v/>
      </c>
    </row>
    <row r="23">
      <c r="B23" s="14">
        <f>IF(ROUND(Target_Total,4)=1,"✓ Target allocation balanced (100%)","⚠ Target allocation must equal 100% (currently "&amp;TEXT(Target_Total,"0.0%")&amp;")")</f>
        <v/>
      </c>
    </row>
    <row r="25">
      <c r="B25" s="4" t="inlineStr">
        <is>
          <t>Rebalancing Parameters</t>
        </is>
      </c>
      <c r="C25" s="5" t="n"/>
      <c r="D25" s="5" t="n"/>
    </row>
    <row r="26">
      <c r="B26" s="6" t="inlineStr">
        <is>
          <t>Tolerance Band (%)</t>
        </is>
      </c>
      <c r="C26" s="11" t="n">
        <v>0.03</v>
      </c>
    </row>
    <row r="27">
      <c r="B27" s="8" t="inlineStr">
        <is>
          <t>No rebalance is recommended unless an asset class deviates from target by more than this band.</t>
        </is>
      </c>
    </row>
    <row r="29">
      <c r="B29" s="4" t="inlineStr">
        <is>
          <t>Minimum Action Threshold</t>
        </is>
      </c>
      <c r="C29" s="5" t="n"/>
      <c r="D29" s="5" t="n"/>
    </row>
    <row r="30">
      <c r="B30" s="6" t="inlineStr">
        <is>
          <t>Minimum Action (KWD)</t>
        </is>
      </c>
      <c r="C30" s="15" t="n">
        <v>100000</v>
      </c>
    </row>
    <row r="31">
      <c r="B31" s="8" t="inlineStr">
        <is>
          <t>Allocation differences smaller than this amount are ignored.</t>
        </is>
      </c>
    </row>
    <row r="33">
      <c r="B33" s="4" t="inlineStr">
        <is>
          <t>Expected Return Assumptions</t>
        </is>
      </c>
      <c r="C33" s="5" t="n"/>
      <c r="D33" s="5" t="n"/>
    </row>
    <row r="34">
      <c r="B34" s="8" t="inlineStr">
        <is>
          <t>Used only for projections and scenario analysis (Performance sheet).</t>
        </is>
      </c>
    </row>
    <row r="35">
      <c r="B35" s="9" t="inlineStr">
        <is>
          <t>Asset Class</t>
        </is>
      </c>
      <c r="C35" s="9" t="inlineStr">
        <is>
          <t>Expected Annual Return</t>
        </is>
      </c>
    </row>
    <row r="36">
      <c r="B36" s="6" t="inlineStr">
        <is>
          <t>Gold</t>
        </is>
      </c>
      <c r="C36" s="11" t="n">
        <v>0.05</v>
      </c>
    </row>
    <row r="37">
      <c r="B37" s="6" t="inlineStr">
        <is>
          <t>Swiss Funds</t>
        </is>
      </c>
      <c r="C37" s="11" t="n">
        <v>0.04</v>
      </c>
    </row>
    <row r="38">
      <c r="B38" s="6" t="inlineStr">
        <is>
          <t>S&amp;P 500 ETFs</t>
        </is>
      </c>
      <c r="C38" s="11" t="n">
        <v>0.08</v>
      </c>
    </row>
    <row r="39">
      <c r="B39" s="6" t="inlineStr">
        <is>
          <t>US Government Bonds</t>
        </is>
      </c>
      <c r="C39" s="11" t="n">
        <v>0.03</v>
      </c>
    </row>
    <row r="41">
      <c r="B41" s="4" t="inlineStr">
        <is>
          <t>Instructions</t>
        </is>
      </c>
      <c r="C41" s="5" t="n"/>
      <c r="D41" s="5" t="n"/>
      <c r="E41" s="5" t="n"/>
      <c r="F41" s="5" t="n"/>
    </row>
    <row r="42">
      <c r="B42" s="16" t="inlineStr">
        <is>
          <t>1.  Update market values and currencies on the 'Portfolio Inputs' sheet.</t>
        </is>
      </c>
    </row>
    <row r="43">
      <c r="B43" s="16" t="inlineStr">
        <is>
          <t>2.  Update FX rates and policy assumptions on this sheet.</t>
        </is>
      </c>
    </row>
    <row r="44">
      <c r="B44" s="16" t="inlineStr">
        <is>
          <t>3.  Review current allocation and gaps on the 'Dashboard'.</t>
        </is>
      </c>
    </row>
    <row r="45">
      <c r="B45" s="16" t="inlineStr">
        <is>
          <t>4.  Use 'Capital Deployment' to allocate new capital to underweight classes.</t>
        </is>
      </c>
    </row>
    <row r="46">
      <c r="B46" s="16" t="inlineStr">
        <is>
          <t>5.  Use 'Rebalance' for strategic capital-movement recommendations.</t>
        </is>
      </c>
    </row>
    <row r="47">
      <c r="B47" s="16" t="inlineStr">
        <is>
          <t>6.  Use 'Performance' for returns, CAGR, scenarios and growth projections.</t>
        </is>
      </c>
    </row>
  </sheetData>
  <mergeCells count="20">
    <mergeCell ref="B47:F47"/>
    <mergeCell ref="B23:D23"/>
    <mergeCell ref="B8:D8"/>
    <mergeCell ref="B46:F46"/>
    <mergeCell ref="B29:D29"/>
    <mergeCell ref="B34:D34"/>
    <mergeCell ref="B43:F43"/>
    <mergeCell ref="B2:F2"/>
    <mergeCell ref="B42:F42"/>
    <mergeCell ref="B1:F1"/>
    <mergeCell ref="B33:D33"/>
    <mergeCell ref="B44:F44"/>
    <mergeCell ref="B4:D4"/>
    <mergeCell ref="B7:D7"/>
    <mergeCell ref="B25:D25"/>
    <mergeCell ref="B16:D16"/>
    <mergeCell ref="B31:D31"/>
    <mergeCell ref="B27:D27"/>
    <mergeCell ref="B45:F45"/>
    <mergeCell ref="B41:F41"/>
  </mergeCells>
  <conditionalFormatting sqref="B23">
    <cfRule type="expression" priority="1" dxfId="0">
      <formula>ROUND(Target_Total,4)&lt;&gt;1</formula>
    </cfRule>
    <cfRule type="expression" priority="2" dxfId="1">
      <formula>ROUND(Target_Total,4)=1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F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20" customWidth="1" min="3" max="3"/>
    <col width="14" customWidth="1" min="4" max="4"/>
    <col width="18" customWidth="1" min="5" max="5"/>
    <col width="22" customWidth="1" min="6" max="6"/>
  </cols>
  <sheetData>
    <row r="1" ht="26" customHeight="1">
      <c r="B1" s="1" t="inlineStr">
        <is>
          <t>Portfolio Inputs</t>
        </is>
      </c>
      <c r="C1" s="2" t="n"/>
      <c r="D1" s="2" t="n"/>
      <c r="E1" s="2" t="n"/>
      <c r="F1" s="2" t="n"/>
    </row>
    <row r="2">
      <c r="B2" s="3" t="inlineStr">
        <is>
          <t>Single source of portfolio market values. Update foreign-currency values and currency; KWD is computed automatically.</t>
        </is>
      </c>
      <c r="C2" s="2" t="n"/>
      <c r="D2" s="2" t="n"/>
      <c r="E2" s="2" t="n"/>
      <c r="F2" s="2" t="n"/>
    </row>
    <row r="4">
      <c r="B4" s="17" t="inlineStr">
        <is>
          <t>Portfolio Total Value (KWD)</t>
        </is>
      </c>
      <c r="C4" s="18">
        <f>Portfolio_Total</f>
        <v/>
      </c>
      <c r="D4" s="19" t="n"/>
      <c r="E4" s="19" t="n"/>
    </row>
    <row r="6">
      <c r="B6" s="9" t="inlineStr">
        <is>
          <t>Asset Class</t>
        </is>
      </c>
      <c r="C6" s="9" t="inlineStr">
        <is>
          <t>Market Value (FC)</t>
        </is>
      </c>
      <c r="D6" s="9" t="inlineStr">
        <is>
          <t>Currency</t>
        </is>
      </c>
      <c r="E6" s="9" t="inlineStr">
        <is>
          <t>FX Rate (KWD/FC)</t>
        </is>
      </c>
      <c r="F6" s="9" t="inlineStr">
        <is>
          <t>Market Value (KWD)</t>
        </is>
      </c>
    </row>
    <row r="7">
      <c r="B7" s="6" t="inlineStr">
        <is>
          <t>Gold</t>
        </is>
      </c>
      <c r="C7" s="15" t="n">
        <v>3000000</v>
      </c>
      <c r="D7" s="7" t="inlineStr">
        <is>
          <t>USD</t>
        </is>
      </c>
      <c r="E7" s="20">
        <f>IFERROR(VLOOKUP(D7,FX_Table,2,FALSE),0)</f>
        <v/>
      </c>
      <c r="F7" s="21">
        <f>C7*E7</f>
        <v/>
      </c>
    </row>
    <row r="8">
      <c r="B8" s="6" t="inlineStr">
        <is>
          <t>Swiss Funds</t>
        </is>
      </c>
      <c r="C8" s="15" t="n">
        <v>4000000</v>
      </c>
      <c r="D8" s="7" t="inlineStr">
        <is>
          <t>CHF</t>
        </is>
      </c>
      <c r="E8" s="20">
        <f>IFERROR(VLOOKUP(D8,FX_Table,2,FALSE),0)</f>
        <v/>
      </c>
      <c r="F8" s="21">
        <f>C8*E8</f>
        <v/>
      </c>
    </row>
    <row r="9">
      <c r="B9" s="6" t="inlineStr">
        <is>
          <t>S&amp;P 500 ETFs</t>
        </is>
      </c>
      <c r="C9" s="15" t="n">
        <v>8000000</v>
      </c>
      <c r="D9" s="7" t="inlineStr">
        <is>
          <t>USD</t>
        </is>
      </c>
      <c r="E9" s="20">
        <f>IFERROR(VLOOKUP(D9,FX_Table,2,FALSE),0)</f>
        <v/>
      </c>
      <c r="F9" s="21">
        <f>C9*E9</f>
        <v/>
      </c>
    </row>
    <row r="10">
      <c r="B10" s="6" t="inlineStr">
        <is>
          <t>US Government Bonds</t>
        </is>
      </c>
      <c r="C10" s="15" t="n">
        <v>5000000</v>
      </c>
      <c r="D10" s="7" t="inlineStr">
        <is>
          <t>USD</t>
        </is>
      </c>
      <c r="E10" s="20">
        <f>IFERROR(VLOOKUP(D10,FX_Table,2,FALSE),0)</f>
        <v/>
      </c>
      <c r="F10" s="21">
        <f>C10*E10</f>
        <v/>
      </c>
    </row>
    <row r="11">
      <c r="B11" s="12" t="inlineStr">
        <is>
          <t>Total</t>
        </is>
      </c>
      <c r="C11" s="22" t="n"/>
      <c r="D11" s="22" t="n"/>
      <c r="E11" s="22" t="n"/>
      <c r="F11" s="23">
        <f>SUM(F7:F10)</f>
        <v/>
      </c>
    </row>
    <row r="13">
      <c r="B13" s="8" t="inlineStr">
        <is>
          <t>FX Rate is looked up automatically from the Exchange Rates table on the Settings sheet, based on the currency selected. Market Value (KWD) = Market Value (FC) × FX Rate.</t>
        </is>
      </c>
    </row>
    <row r="14"/>
  </sheetData>
  <mergeCells count="4">
    <mergeCell ref="B2:F2"/>
    <mergeCell ref="C4:E4"/>
    <mergeCell ref="B13:F14"/>
    <mergeCell ref="B1:F1"/>
  </mergeCells>
  <dataValidations count="1">
    <dataValidation sqref="D7:D10" showDropDown="0" showInputMessage="0" showErrorMessage="0" allowBlank="1" type="list">
      <formula1>='1. Settings'!$B$10:$B$14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B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</cols>
  <sheetData>
    <row r="1" ht="26" customHeight="1">
      <c r="B1" s="1" t="inlineStr">
        <is>
          <t>Allocation Dashboard</t>
        </is>
      </c>
      <c r="C1" s="2" t="n"/>
      <c r="D1" s="2" t="n"/>
      <c r="E1" s="2" t="n"/>
      <c r="F1" s="2" t="n"/>
      <c r="G1" s="2" t="n"/>
    </row>
    <row r="2">
      <c r="B2" s="3" t="inlineStr">
        <is>
          <t>Current portfolio value, allocation versus target, and allocation gaps.</t>
        </is>
      </c>
      <c r="C2" s="2" t="n"/>
      <c r="D2" s="2" t="n"/>
      <c r="E2" s="2" t="n"/>
      <c r="F2" s="2" t="n"/>
      <c r="G2" s="2" t="n"/>
    </row>
    <row r="3">
      <c r="B3" s="17" t="inlineStr">
        <is>
          <t>Portfolio Total Value (KWD)</t>
        </is>
      </c>
      <c r="C3" s="18">
        <f>Portfolio_Total</f>
        <v/>
      </c>
      <c r="D3" s="19" t="n"/>
      <c r="E3" s="19" t="n"/>
    </row>
    <row r="5">
      <c r="B5" s="9" t="inlineStr">
        <is>
          <t>Asset Class</t>
        </is>
      </c>
      <c r="C5" s="9" t="inlineStr">
        <is>
          <t>Current Value (KWD)</t>
        </is>
      </c>
      <c r="D5" s="9" t="inlineStr">
        <is>
          <t>Current %</t>
        </is>
      </c>
      <c r="E5" s="9" t="inlineStr">
        <is>
          <t>Target %</t>
        </is>
      </c>
      <c r="F5" s="9" t="inlineStr">
        <is>
          <t>Difference %</t>
        </is>
      </c>
    </row>
    <row r="6">
      <c r="B6" s="6" t="inlineStr">
        <is>
          <t>Gold</t>
        </is>
      </c>
      <c r="C6" s="21">
        <f>MV_Gold</f>
        <v/>
      </c>
      <c r="D6" s="24">
        <f>IFERROR(C6/Portfolio_Total,0)</f>
        <v/>
      </c>
      <c r="E6" s="24">
        <f>Target_Gold</f>
        <v/>
      </c>
      <c r="F6" s="25">
        <f>D6-E6</f>
        <v/>
      </c>
    </row>
    <row r="7">
      <c r="B7" s="6" t="inlineStr">
        <is>
          <t>Swiss Funds</t>
        </is>
      </c>
      <c r="C7" s="21">
        <f>MV_Swiss</f>
        <v/>
      </c>
      <c r="D7" s="24">
        <f>IFERROR(C7/Portfolio_Total,0)</f>
        <v/>
      </c>
      <c r="E7" s="24">
        <f>Target_Swiss</f>
        <v/>
      </c>
      <c r="F7" s="25">
        <f>D7-E7</f>
        <v/>
      </c>
    </row>
    <row r="8">
      <c r="B8" s="6" t="inlineStr">
        <is>
          <t>S&amp;P 500 ETFs</t>
        </is>
      </c>
      <c r="C8" s="21">
        <f>MV_SP500</f>
        <v/>
      </c>
      <c r="D8" s="24">
        <f>IFERROR(C8/Portfolio_Total,0)</f>
        <v/>
      </c>
      <c r="E8" s="24">
        <f>Target_SP500</f>
        <v/>
      </c>
      <c r="F8" s="25">
        <f>D8-E8</f>
        <v/>
      </c>
    </row>
    <row r="9">
      <c r="B9" s="6" t="inlineStr">
        <is>
          <t>US Government Bonds</t>
        </is>
      </c>
      <c r="C9" s="21">
        <f>MV_Bonds</f>
        <v/>
      </c>
      <c r="D9" s="24">
        <f>IFERROR(C9/Portfolio_Total,0)</f>
        <v/>
      </c>
      <c r="E9" s="24">
        <f>Target_Bonds</f>
        <v/>
      </c>
      <c r="F9" s="25">
        <f>D9-E9</f>
        <v/>
      </c>
    </row>
    <row r="10">
      <c r="B10" s="12" t="inlineStr">
        <is>
          <t>Total</t>
        </is>
      </c>
      <c r="C10" s="23">
        <f>SUM(C6:C9)</f>
        <v/>
      </c>
      <c r="D10" s="13">
        <f>SUM(D6:D9)</f>
        <v/>
      </c>
      <c r="E10" s="13">
        <f>SUM(E6:E9)</f>
        <v/>
      </c>
      <c r="F10" s="26">
        <f>D10-E10</f>
        <v/>
      </c>
    </row>
    <row r="12">
      <c r="B12" s="4" t="inlineStr">
        <is>
          <t>Underweight Assets (below target)</t>
        </is>
      </c>
      <c r="C12" s="5" t="n"/>
      <c r="D12" s="5" t="n"/>
    </row>
    <row r="13">
      <c r="B13" s="9" t="inlineStr">
        <is>
          <t>Asset Class</t>
        </is>
      </c>
      <c r="C13" s="9" t="inlineStr">
        <is>
          <t>Allocation Gap %</t>
        </is>
      </c>
      <c r="D13" s="9" t="inlineStr">
        <is>
          <t>Allocation Gap (KWD)</t>
        </is>
      </c>
    </row>
    <row r="14">
      <c r="B14" s="6">
        <f>IF(D6&lt;E6,B6,"")</f>
        <v/>
      </c>
      <c r="C14" s="24">
        <f>IF(D6&lt;E6,E6-D6,"")</f>
        <v/>
      </c>
      <c r="D14" s="21">
        <f>IF(D6&lt;E6,(E6-D6)*Portfolio_Total,"")</f>
        <v/>
      </c>
    </row>
    <row r="15">
      <c r="B15" s="6">
        <f>IF(D7&lt;E7,B7,"")</f>
        <v/>
      </c>
      <c r="C15" s="24">
        <f>IF(D7&lt;E7,E7-D7,"")</f>
        <v/>
      </c>
      <c r="D15" s="21">
        <f>IF(D7&lt;E7,(E7-D7)*Portfolio_Total,"")</f>
        <v/>
      </c>
    </row>
    <row r="16">
      <c r="B16" s="6">
        <f>IF(D8&lt;E8,B8,"")</f>
        <v/>
      </c>
      <c r="C16" s="24">
        <f>IF(D8&lt;E8,E8-D8,"")</f>
        <v/>
      </c>
      <c r="D16" s="21">
        <f>IF(D8&lt;E8,(E8-D8)*Portfolio_Total,"")</f>
        <v/>
      </c>
    </row>
    <row r="17">
      <c r="B17" s="6">
        <f>IF(D9&lt;E9,B9,"")</f>
        <v/>
      </c>
      <c r="C17" s="24">
        <f>IF(D9&lt;E9,E9-D9,"")</f>
        <v/>
      </c>
      <c r="D17" s="21">
        <f>IF(D9&lt;E9,(E9-D9)*Portfolio_Total,"")</f>
        <v/>
      </c>
    </row>
    <row r="18">
      <c r="B18" s="12" t="inlineStr">
        <is>
          <t>Total underweight</t>
        </is>
      </c>
      <c r="C18" s="22" t="n"/>
      <c r="D18" s="23">
        <f>SUM(D14:D17)</f>
        <v/>
      </c>
    </row>
    <row r="20">
      <c r="B20" s="4" t="inlineStr">
        <is>
          <t>Overweight Assets (above target)</t>
        </is>
      </c>
      <c r="C20" s="5" t="n"/>
      <c r="D20" s="5" t="n"/>
    </row>
    <row r="21">
      <c r="B21" s="9" t="inlineStr">
        <is>
          <t>Asset Class</t>
        </is>
      </c>
      <c r="C21" s="9" t="inlineStr">
        <is>
          <t>Allocation Gap %</t>
        </is>
      </c>
      <c r="D21" s="9" t="inlineStr">
        <is>
          <t>Allocation Gap (KWD)</t>
        </is>
      </c>
    </row>
    <row r="22">
      <c r="B22" s="6">
        <f>IF(D6&gt;E6,B6,"")</f>
        <v/>
      </c>
      <c r="C22" s="24">
        <f>IF(D6&gt;E6,D6-E6,"")</f>
        <v/>
      </c>
      <c r="D22" s="21">
        <f>IF(D6&gt;E6,(D6-E6)*Portfolio_Total,"")</f>
        <v/>
      </c>
    </row>
    <row r="23">
      <c r="B23" s="6">
        <f>IF(D7&gt;E7,B7,"")</f>
        <v/>
      </c>
      <c r="C23" s="24">
        <f>IF(D7&gt;E7,D7-E7,"")</f>
        <v/>
      </c>
      <c r="D23" s="21">
        <f>IF(D7&gt;E7,(D7-E7)*Portfolio_Total,"")</f>
        <v/>
      </c>
    </row>
    <row r="24">
      <c r="B24" s="6">
        <f>IF(D8&gt;E8,B8,"")</f>
        <v/>
      </c>
      <c r="C24" s="24">
        <f>IF(D8&gt;E8,D8-E8,"")</f>
        <v/>
      </c>
      <c r="D24" s="21">
        <f>IF(D8&gt;E8,(D8-E8)*Portfolio_Total,"")</f>
        <v/>
      </c>
    </row>
    <row r="25">
      <c r="B25" s="6">
        <f>IF(D9&gt;E9,B9,"")</f>
        <v/>
      </c>
      <c r="C25" s="24">
        <f>IF(D9&gt;E9,D9-E9,"")</f>
        <v/>
      </c>
      <c r="D25" s="21">
        <f>IF(D9&gt;E9,(D9-E9)*Portfolio_Total,"")</f>
        <v/>
      </c>
    </row>
    <row r="26">
      <c r="B26" s="12" t="inlineStr">
        <is>
          <t>Total overweight</t>
        </is>
      </c>
      <c r="C26" s="22" t="n"/>
      <c r="D26" s="23">
        <f>SUM(D22:D25)</f>
        <v/>
      </c>
    </row>
  </sheetData>
  <mergeCells count="5">
    <mergeCell ref="B2:G2"/>
    <mergeCell ref="B1:G1"/>
    <mergeCell ref="C3:E3"/>
    <mergeCell ref="B12:D12"/>
    <mergeCell ref="B20:D20"/>
  </mergeCells>
  <conditionalFormatting sqref="F6:F9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22" customWidth="1" min="2" max="2"/>
    <col width="18" customWidth="1" min="3" max="3"/>
    <col width="12" customWidth="1" min="4" max="4"/>
    <col width="18" customWidth="1" min="5" max="5"/>
    <col width="16" customWidth="1" min="6" max="6"/>
    <col width="18" customWidth="1" min="7" max="7"/>
    <col width="16" customWidth="1" min="8" max="8"/>
    <col width="14" customWidth="1" min="9" max="9"/>
    <col width="12" customWidth="1" min="10" max="10"/>
  </cols>
  <sheetData>
    <row r="1" ht="26" customHeight="1">
      <c r="B1" s="1" t="inlineStr">
        <is>
          <t>Capital Deployment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B2" s="3" t="inlineStr">
        <is>
          <t>Determine where new capital should be deployed. Underweight asset classes are funded toward target first, then by target weights.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17" t="inlineStr">
        <is>
          <t>New Capital Available (KWD)</t>
        </is>
      </c>
      <c r="C3" s="15" t="n">
        <v>500000</v>
      </c>
      <c r="E3" s="17" t="inlineStr">
        <is>
          <t>Current Portfolio (KWD)</t>
        </is>
      </c>
      <c r="F3" s="27">
        <f>Portfolio_Total</f>
        <v/>
      </c>
      <c r="H3" s="17" t="inlineStr">
        <is>
          <t>Total After Deployment (KWD)</t>
        </is>
      </c>
      <c r="I3" s="27">
        <f>Portfolio_Total+New_Capital</f>
        <v/>
      </c>
    </row>
    <row r="5">
      <c r="B5" s="9" t="inlineStr">
        <is>
          <t>Asset Class</t>
        </is>
      </c>
      <c r="C5" s="9" t="inlineStr">
        <is>
          <t>Current Value (KWD)</t>
        </is>
      </c>
      <c r="D5" s="9" t="inlineStr">
        <is>
          <t>Target %</t>
        </is>
      </c>
      <c r="E5" s="9" t="inlineStr">
        <is>
          <t>Target Value @ New Total</t>
        </is>
      </c>
      <c r="F5" s="9" t="inlineStr">
        <is>
          <t>Gap to Target (KWD)</t>
        </is>
      </c>
      <c r="G5" s="9" t="inlineStr">
        <is>
          <t>Suggested Allocation (KWD)</t>
        </is>
      </c>
      <c r="H5" s="9" t="inlineStr">
        <is>
          <t>Value After (KWD)</t>
        </is>
      </c>
      <c r="I5" s="9" t="inlineStr">
        <is>
          <t>Allocation After %</t>
        </is>
      </c>
      <c r="J5" s="9" t="inlineStr">
        <is>
          <t>Current %</t>
        </is>
      </c>
    </row>
    <row r="6">
      <c r="B6" s="6" t="inlineStr">
        <is>
          <t>Gold</t>
        </is>
      </c>
      <c r="C6" s="21">
        <f>MV_Gold</f>
        <v/>
      </c>
      <c r="D6" s="24">
        <f>Target_Gold</f>
        <v/>
      </c>
      <c r="E6" s="21">
        <f>D6*New_Total</f>
        <v/>
      </c>
      <c r="F6" s="21">
        <f>MAX(0,E6-C6)</f>
        <v/>
      </c>
      <c r="G6" s="21">
        <f>IF(New_Capital&lt;=0,0,IF($F$10&lt;=0,New_Capital*D6,IF(New_Capital&lt;=$F$10,New_Capital*F6/$F$10,F6+(New_Capital-$F$10)*D6)))</f>
        <v/>
      </c>
      <c r="H6" s="21">
        <f>C6+G6</f>
        <v/>
      </c>
      <c r="I6" s="24">
        <f>IFERROR(H6/New_Total,0)</f>
        <v/>
      </c>
      <c r="J6" s="24">
        <f>IFERROR(C6/Portfolio_Total,0)</f>
        <v/>
      </c>
    </row>
    <row r="7">
      <c r="B7" s="6" t="inlineStr">
        <is>
          <t>Swiss Funds</t>
        </is>
      </c>
      <c r="C7" s="21">
        <f>MV_Swiss</f>
        <v/>
      </c>
      <c r="D7" s="24">
        <f>Target_Swiss</f>
        <v/>
      </c>
      <c r="E7" s="21">
        <f>D7*New_Total</f>
        <v/>
      </c>
      <c r="F7" s="21">
        <f>MAX(0,E7-C7)</f>
        <v/>
      </c>
      <c r="G7" s="21">
        <f>IF(New_Capital&lt;=0,0,IF($F$10&lt;=0,New_Capital*D7,IF(New_Capital&lt;=$F$10,New_Capital*F7/$F$10,F7+(New_Capital-$F$10)*D7)))</f>
        <v/>
      </c>
      <c r="H7" s="21">
        <f>C7+G7</f>
        <v/>
      </c>
      <c r="I7" s="24">
        <f>IFERROR(H7/New_Total,0)</f>
        <v/>
      </c>
      <c r="J7" s="24">
        <f>IFERROR(C7/Portfolio_Total,0)</f>
        <v/>
      </c>
    </row>
    <row r="8">
      <c r="B8" s="6" t="inlineStr">
        <is>
          <t>S&amp;P 500 ETFs</t>
        </is>
      </c>
      <c r="C8" s="21">
        <f>MV_SP500</f>
        <v/>
      </c>
      <c r="D8" s="24">
        <f>Target_SP500</f>
        <v/>
      </c>
      <c r="E8" s="21">
        <f>D8*New_Total</f>
        <v/>
      </c>
      <c r="F8" s="21">
        <f>MAX(0,E8-C8)</f>
        <v/>
      </c>
      <c r="G8" s="21">
        <f>IF(New_Capital&lt;=0,0,IF($F$10&lt;=0,New_Capital*D8,IF(New_Capital&lt;=$F$10,New_Capital*F8/$F$10,F8+(New_Capital-$F$10)*D8)))</f>
        <v/>
      </c>
      <c r="H8" s="21">
        <f>C8+G8</f>
        <v/>
      </c>
      <c r="I8" s="24">
        <f>IFERROR(H8/New_Total,0)</f>
        <v/>
      </c>
      <c r="J8" s="24">
        <f>IFERROR(C8/Portfolio_Total,0)</f>
        <v/>
      </c>
    </row>
    <row r="9">
      <c r="B9" s="6" t="inlineStr">
        <is>
          <t>US Government Bonds</t>
        </is>
      </c>
      <c r="C9" s="21">
        <f>MV_Bonds</f>
        <v/>
      </c>
      <c r="D9" s="24">
        <f>Target_Bonds</f>
        <v/>
      </c>
      <c r="E9" s="21">
        <f>D9*New_Total</f>
        <v/>
      </c>
      <c r="F9" s="21">
        <f>MAX(0,E9-C9)</f>
        <v/>
      </c>
      <c r="G9" s="21">
        <f>IF(New_Capital&lt;=0,0,IF($F$10&lt;=0,New_Capital*D9,IF(New_Capital&lt;=$F$10,New_Capital*F9/$F$10,F9+(New_Capital-$F$10)*D9)))</f>
        <v/>
      </c>
      <c r="H9" s="21">
        <f>C9+G9</f>
        <v/>
      </c>
      <c r="I9" s="24">
        <f>IFERROR(H9/New_Total,0)</f>
        <v/>
      </c>
      <c r="J9" s="24">
        <f>IFERROR(C9/Portfolio_Total,0)</f>
        <v/>
      </c>
    </row>
    <row r="10">
      <c r="B10" s="12" t="inlineStr">
        <is>
          <t>Total</t>
        </is>
      </c>
      <c r="C10" s="23">
        <f>SUM(C6:C9)</f>
        <v/>
      </c>
      <c r="D10" s="22" t="n"/>
      <c r="E10" s="23">
        <f>SUM(E6:E9)</f>
        <v/>
      </c>
      <c r="F10" s="23">
        <f>SUM(F6:F9)</f>
        <v/>
      </c>
      <c r="G10" s="23">
        <f>SUM(G6:G9)</f>
        <v/>
      </c>
      <c r="H10" s="23">
        <f>SUM(H6:H9)</f>
        <v/>
      </c>
      <c r="I10" s="13">
        <f>SUM(I6:I9)</f>
        <v/>
      </c>
      <c r="J10" s="13">
        <f>SUM(J6:J9)</f>
        <v/>
      </c>
    </row>
    <row r="12">
      <c r="B12" s="4" t="inlineStr">
        <is>
          <t>Recommended Capital Deployment</t>
        </is>
      </c>
      <c r="C12" s="5" t="n"/>
      <c r="D12" s="5" t="n"/>
    </row>
    <row r="13">
      <c r="B13" s="28" t="inlineStr">
        <is>
          <t>New Capital Available</t>
        </is>
      </c>
      <c r="C13" s="29" t="n"/>
      <c r="D13" s="30">
        <f>New_Capital</f>
        <v/>
      </c>
    </row>
    <row r="14">
      <c r="B14" s="6" t="inlineStr">
        <is>
          <t>Gold</t>
        </is>
      </c>
      <c r="C14" s="29" t="n"/>
      <c r="D14" s="21">
        <f>G6</f>
        <v/>
      </c>
    </row>
    <row r="15">
      <c r="B15" s="6" t="inlineStr">
        <is>
          <t>Swiss Funds</t>
        </is>
      </c>
      <c r="C15" s="29" t="n"/>
      <c r="D15" s="21">
        <f>G7</f>
        <v/>
      </c>
    </row>
    <row r="16">
      <c r="B16" s="6" t="inlineStr">
        <is>
          <t>S&amp;P 500 ETFs</t>
        </is>
      </c>
      <c r="C16" s="29" t="n"/>
      <c r="D16" s="21">
        <f>G8</f>
        <v/>
      </c>
    </row>
    <row r="17">
      <c r="B17" s="6" t="inlineStr">
        <is>
          <t>US Government Bonds</t>
        </is>
      </c>
      <c r="C17" s="29" t="n"/>
      <c r="D17" s="21">
        <f>G9</f>
        <v/>
      </c>
    </row>
    <row r="18">
      <c r="B18" s="12" t="inlineStr">
        <is>
          <t>Total Allocated</t>
        </is>
      </c>
      <c r="C18" s="22" t="n"/>
      <c r="D18" s="23">
        <f>SUM(D14:D17)</f>
        <v/>
      </c>
    </row>
    <row r="20">
      <c r="B20" s="4" t="inlineStr">
        <is>
          <t>Expected Allocation After Deployment</t>
        </is>
      </c>
      <c r="C20" s="5" t="n"/>
      <c r="D20" s="5" t="n"/>
      <c r="E20" s="5" t="n"/>
    </row>
    <row r="21">
      <c r="B21" s="9" t="inlineStr">
        <is>
          <t>Asset Class</t>
        </is>
      </c>
      <c r="C21" s="9" t="inlineStr">
        <is>
          <t>Value After (KWD)</t>
        </is>
      </c>
      <c r="D21" s="9" t="inlineStr">
        <is>
          <t>Allocation After %</t>
        </is>
      </c>
      <c r="E21" s="9" t="inlineStr">
        <is>
          <t>Target %</t>
        </is>
      </c>
    </row>
    <row r="22">
      <c r="B22" s="6" t="inlineStr">
        <is>
          <t>Gold</t>
        </is>
      </c>
      <c r="C22" s="21">
        <f>H6</f>
        <v/>
      </c>
      <c r="D22" s="24">
        <f>I6</f>
        <v/>
      </c>
      <c r="E22" s="24">
        <f>D6</f>
        <v/>
      </c>
    </row>
    <row r="23">
      <c r="B23" s="6" t="inlineStr">
        <is>
          <t>Swiss Funds</t>
        </is>
      </c>
      <c r="C23" s="21">
        <f>H7</f>
        <v/>
      </c>
      <c r="D23" s="24">
        <f>I7</f>
        <v/>
      </c>
      <c r="E23" s="24">
        <f>D7</f>
        <v/>
      </c>
    </row>
    <row r="24">
      <c r="B24" s="6" t="inlineStr">
        <is>
          <t>S&amp;P 500 ETFs</t>
        </is>
      </c>
      <c r="C24" s="21">
        <f>H8</f>
        <v/>
      </c>
      <c r="D24" s="24">
        <f>I8</f>
        <v/>
      </c>
      <c r="E24" s="24">
        <f>D8</f>
        <v/>
      </c>
    </row>
    <row r="25">
      <c r="B25" s="6" t="inlineStr">
        <is>
          <t>US Government Bonds</t>
        </is>
      </c>
      <c r="C25" s="21">
        <f>H9</f>
        <v/>
      </c>
      <c r="D25" s="24">
        <f>I9</f>
        <v/>
      </c>
      <c r="E25" s="24">
        <f>D9</f>
        <v/>
      </c>
    </row>
    <row r="26">
      <c r="B26" s="12" t="inlineStr">
        <is>
          <t>Total</t>
        </is>
      </c>
      <c r="C26" s="23">
        <f>SUM(C22:C25)</f>
        <v/>
      </c>
      <c r="D26" s="13">
        <f>SUM(D22:D25)</f>
        <v/>
      </c>
      <c r="E26" s="13">
        <f>SUM(E22:E25)</f>
        <v/>
      </c>
    </row>
  </sheetData>
  <mergeCells count="4">
    <mergeCell ref="B12:D12"/>
    <mergeCell ref="B1:J1"/>
    <mergeCell ref="B2:J2"/>
    <mergeCell ref="B20:E20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B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18" customWidth="1" min="3" max="3"/>
    <col width="12" customWidth="1" min="4" max="4"/>
    <col width="18" customWidth="1" min="5" max="5"/>
    <col width="16" customWidth="1" min="6" max="6"/>
    <col width="12" customWidth="1" min="7" max="7"/>
    <col width="12" customWidth="1" min="8" max="8"/>
    <col width="3" customWidth="1" min="9" max="9"/>
  </cols>
  <sheetData>
    <row r="1" ht="26" customHeight="1">
      <c r="B1" s="1" t="inlineStr">
        <is>
          <t>Rebalance Analysis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Strategic rebalancing - capital movements between asset classes. No trade tickets, no units, no security-level recommendations.</t>
        </is>
      </c>
      <c r="C2" s="2" t="n"/>
      <c r="D2" s="2" t="n"/>
      <c r="E2" s="2" t="n"/>
      <c r="F2" s="2" t="n"/>
      <c r="G2" s="2" t="n"/>
      <c r="H2" s="2" t="n"/>
    </row>
    <row r="3">
      <c r="B3" s="17" t="inlineStr">
        <is>
          <t>Portfolio Total Value (KWD)</t>
        </is>
      </c>
      <c r="C3" s="18">
        <f>Portfolio_Total</f>
        <v/>
      </c>
      <c r="D3" s="19" t="n"/>
      <c r="E3" s="19" t="n"/>
    </row>
    <row r="5">
      <c r="B5" s="9" t="inlineStr">
        <is>
          <t>Asset Class</t>
        </is>
      </c>
      <c r="C5" s="9" t="inlineStr">
        <is>
          <t>Current Value (KWD)</t>
        </is>
      </c>
      <c r="D5" s="9" t="inlineStr">
        <is>
          <t>Target %</t>
        </is>
      </c>
      <c r="E5" s="9" t="inlineStr">
        <is>
          <t>Target Value (KWD)</t>
        </is>
      </c>
      <c r="F5" s="9" t="inlineStr">
        <is>
          <t>Difference (KWD)</t>
        </is>
      </c>
      <c r="G5" s="9" t="inlineStr">
        <is>
          <t>Deviation %</t>
        </is>
      </c>
      <c r="H5" s="9" t="inlineStr">
        <is>
          <t>Action</t>
        </is>
      </c>
    </row>
    <row r="6">
      <c r="B6" s="6" t="inlineStr">
        <is>
          <t>Gold</t>
        </is>
      </c>
      <c r="C6" s="21">
        <f>MV_Gold</f>
        <v/>
      </c>
      <c r="D6" s="24">
        <f>Target_Gold</f>
        <v/>
      </c>
      <c r="E6" s="21">
        <f>D6*Portfolio_Total</f>
        <v/>
      </c>
      <c r="F6" s="31">
        <f>E6-C6</f>
        <v/>
      </c>
      <c r="G6" s="25">
        <f>IFERROR(C6/Portfolio_Total,0)-D6</f>
        <v/>
      </c>
      <c r="H6" s="32">
        <f>IF(AND(ABS(G6)&gt;Tol_Band,ABS(F6)&gt;Min_Action),IF(F6&gt;0,"Increase","Reduce"),"Hold")</f>
        <v/>
      </c>
    </row>
    <row r="7">
      <c r="B7" s="6" t="inlineStr">
        <is>
          <t>Swiss Funds</t>
        </is>
      </c>
      <c r="C7" s="21">
        <f>MV_Swiss</f>
        <v/>
      </c>
      <c r="D7" s="24">
        <f>Target_Swiss</f>
        <v/>
      </c>
      <c r="E7" s="21">
        <f>D7*Portfolio_Total</f>
        <v/>
      </c>
      <c r="F7" s="31">
        <f>E7-C7</f>
        <v/>
      </c>
      <c r="G7" s="25">
        <f>IFERROR(C7/Portfolio_Total,0)-D7</f>
        <v/>
      </c>
      <c r="H7" s="32">
        <f>IF(AND(ABS(G7)&gt;Tol_Band,ABS(F7)&gt;Min_Action),IF(F7&gt;0,"Increase","Reduce"),"Hold")</f>
        <v/>
      </c>
    </row>
    <row r="8">
      <c r="B8" s="6" t="inlineStr">
        <is>
          <t>S&amp;P 500 ETFs</t>
        </is>
      </c>
      <c r="C8" s="21">
        <f>MV_SP500</f>
        <v/>
      </c>
      <c r="D8" s="24">
        <f>Target_SP500</f>
        <v/>
      </c>
      <c r="E8" s="21">
        <f>D8*Portfolio_Total</f>
        <v/>
      </c>
      <c r="F8" s="31">
        <f>E8-C8</f>
        <v/>
      </c>
      <c r="G8" s="25">
        <f>IFERROR(C8/Portfolio_Total,0)-D8</f>
        <v/>
      </c>
      <c r="H8" s="32">
        <f>IF(AND(ABS(G8)&gt;Tol_Band,ABS(F8)&gt;Min_Action),IF(F8&gt;0,"Increase","Reduce"),"Hold")</f>
        <v/>
      </c>
    </row>
    <row r="9">
      <c r="B9" s="6" t="inlineStr">
        <is>
          <t>US Government Bonds</t>
        </is>
      </c>
      <c r="C9" s="21">
        <f>MV_Bonds</f>
        <v/>
      </c>
      <c r="D9" s="24">
        <f>Target_Bonds</f>
        <v/>
      </c>
      <c r="E9" s="21">
        <f>D9*Portfolio_Total</f>
        <v/>
      </c>
      <c r="F9" s="31">
        <f>E9-C9</f>
        <v/>
      </c>
      <c r="G9" s="25">
        <f>IFERROR(C9/Portfolio_Total,0)-D9</f>
        <v/>
      </c>
      <c r="H9" s="32">
        <f>IF(AND(ABS(G9)&gt;Tol_Band,ABS(F9)&gt;Min_Action),IF(F9&gt;0,"Increase","Reduce"),"Hold")</f>
        <v/>
      </c>
    </row>
    <row r="10">
      <c r="B10" s="12" t="inlineStr">
        <is>
          <t>Total</t>
        </is>
      </c>
      <c r="C10" s="23">
        <f>SUM(C6:C9)</f>
        <v/>
      </c>
      <c r="D10" s="22" t="n"/>
      <c r="E10" s="23">
        <f>SUM(E6:E9)</f>
        <v/>
      </c>
      <c r="F10" s="33">
        <f>SUM(F6:F9)</f>
        <v/>
      </c>
      <c r="G10" s="22" t="n"/>
      <c r="H10" s="22" t="n"/>
    </row>
    <row r="12">
      <c r="B12" s="4" t="inlineStr">
        <is>
          <t>Recommended Capital Movements</t>
        </is>
      </c>
      <c r="C12" s="5" t="n"/>
    </row>
    <row r="13">
      <c r="B13" s="9" t="inlineStr">
        <is>
          <t>Recommendation</t>
        </is>
      </c>
      <c r="C13" s="9" t="inlineStr">
        <is>
          <t>Amount (KWD)</t>
        </is>
      </c>
    </row>
    <row r="14">
      <c r="B14" s="6">
        <f>IF(H6="Hold","Hold "&amp;B6&amp;" (within tolerance)",H6&amp;" "&amp;B6)</f>
        <v/>
      </c>
      <c r="C14" s="21">
        <f>IF(H6="Hold","",ABS(F6))</f>
        <v/>
      </c>
    </row>
    <row r="15">
      <c r="B15" s="6">
        <f>IF(H7="Hold","Hold "&amp;B7&amp;" (within tolerance)",H7&amp;" "&amp;B7)</f>
        <v/>
      </c>
      <c r="C15" s="21">
        <f>IF(H7="Hold","",ABS(F7))</f>
        <v/>
      </c>
    </row>
    <row r="16">
      <c r="B16" s="6">
        <f>IF(H8="Hold","Hold "&amp;B8&amp;" (within tolerance)",H8&amp;" "&amp;B8)</f>
        <v/>
      </c>
      <c r="C16" s="21">
        <f>IF(H8="Hold","",ABS(F8))</f>
        <v/>
      </c>
    </row>
    <row r="17">
      <c r="B17" s="6">
        <f>IF(H9="Hold","Hold "&amp;B9&amp;" (within tolerance)",H9&amp;" "&amp;B9)</f>
        <v/>
      </c>
      <c r="C17" s="21">
        <f>IF(H9="Hold","",ABS(F9))</f>
        <v/>
      </c>
    </row>
    <row r="18">
      <c r="B18" s="12" t="inlineStr">
        <is>
          <t>Total Capital To Reallocate</t>
        </is>
      </c>
      <c r="C18" s="23">
        <f>SUMPRODUCT((H6:H9="Increase")*(F6:F9))</f>
        <v/>
      </c>
    </row>
    <row r="20">
      <c r="B20" s="4" t="inlineStr">
        <is>
          <t>Suggested Capital Movements</t>
        </is>
      </c>
      <c r="C20" s="5" t="n"/>
      <c r="D20" s="5" t="n"/>
      <c r="E20" s="5" t="n"/>
    </row>
    <row r="21">
      <c r="B21" s="8" t="inlineStr">
        <is>
          <t>Act on the following to move the portfolio toward target allocation:</t>
        </is>
      </c>
    </row>
    <row r="22">
      <c r="B22" s="34">
        <f>IF(H6="Hold","•  "&amp;B6&amp;" — hold (within tolerance band)","•  "&amp;H6&amp;" "&amp;B6&amp;" by "&amp;TEXT(ABS(F6),"#,##0")&amp;" KWD")</f>
        <v/>
      </c>
    </row>
    <row r="23">
      <c r="B23" s="34">
        <f>IF(H7="Hold","•  "&amp;B7&amp;" — hold (within tolerance band)","•  "&amp;H7&amp;" "&amp;B7&amp;" by "&amp;TEXT(ABS(F7),"#,##0")&amp;" KWD")</f>
        <v/>
      </c>
    </row>
    <row r="24">
      <c r="B24" s="34">
        <f>IF(H8="Hold","•  "&amp;B8&amp;" — hold (within tolerance band)","•  "&amp;H8&amp;" "&amp;B8&amp;" by "&amp;TEXT(ABS(F8),"#,##0")&amp;" KWD")</f>
        <v/>
      </c>
    </row>
    <row r="25">
      <c r="B25" s="34">
        <f>IF(H9="Hold","•  "&amp;B9&amp;" — hold (within tolerance band)","•  "&amp;H9&amp;" "&amp;B9&amp;" by "&amp;TEXT(ABS(F9),"#,##0")&amp;" KWD")</f>
        <v/>
      </c>
    </row>
    <row r="27">
      <c r="B27" s="4" t="inlineStr">
        <is>
          <t>Portfolio Allocation After Rebalancing</t>
        </is>
      </c>
      <c r="C27" s="5" t="n"/>
      <c r="D27" s="5" t="n"/>
      <c r="E27" s="5" t="n"/>
    </row>
    <row r="28">
      <c r="B28" s="9" t="inlineStr">
        <is>
          <t>Asset Class</t>
        </is>
      </c>
      <c r="C28" s="9" t="inlineStr">
        <is>
          <t>Value After (KWD)</t>
        </is>
      </c>
      <c r="D28" s="9" t="inlineStr">
        <is>
          <t>Allocation After %</t>
        </is>
      </c>
      <c r="E28" s="9" t="inlineStr">
        <is>
          <t>Target %</t>
        </is>
      </c>
    </row>
    <row r="29">
      <c r="B29" s="6" t="inlineStr">
        <is>
          <t>Gold</t>
        </is>
      </c>
      <c r="C29" s="21">
        <f>IF(H6&lt;&gt;"Hold",E6,C6)</f>
        <v/>
      </c>
      <c r="D29" s="24">
        <f>IFERROR(C29/$C$33,0)</f>
        <v/>
      </c>
      <c r="E29" s="24">
        <f>D6</f>
        <v/>
      </c>
    </row>
    <row r="30">
      <c r="B30" s="6" t="inlineStr">
        <is>
          <t>Swiss Funds</t>
        </is>
      </c>
      <c r="C30" s="21">
        <f>IF(H7&lt;&gt;"Hold",E7,C7)</f>
        <v/>
      </c>
      <c r="D30" s="24">
        <f>IFERROR(C30/$C$33,0)</f>
        <v/>
      </c>
      <c r="E30" s="24">
        <f>D7</f>
        <v/>
      </c>
    </row>
    <row r="31">
      <c r="B31" s="6" t="inlineStr">
        <is>
          <t>S&amp;P 500 ETFs</t>
        </is>
      </c>
      <c r="C31" s="21">
        <f>IF(H8&lt;&gt;"Hold",E8,C8)</f>
        <v/>
      </c>
      <c r="D31" s="24">
        <f>IFERROR(C31/$C$33,0)</f>
        <v/>
      </c>
      <c r="E31" s="24">
        <f>D8</f>
        <v/>
      </c>
    </row>
    <row r="32">
      <c r="B32" s="6" t="inlineStr">
        <is>
          <t>US Government Bonds</t>
        </is>
      </c>
      <c r="C32" s="21">
        <f>IF(H9&lt;&gt;"Hold",E9,C9)</f>
        <v/>
      </c>
      <c r="D32" s="24">
        <f>IFERROR(C32/$C$33,0)</f>
        <v/>
      </c>
      <c r="E32" s="24">
        <f>D9</f>
        <v/>
      </c>
    </row>
    <row r="33">
      <c r="B33" s="12" t="inlineStr">
        <is>
          <t>Total</t>
        </is>
      </c>
      <c r="C33" s="23">
        <f>SUM(C29:C32)</f>
        <v/>
      </c>
      <c r="D33" s="13">
        <f>SUM(D29:D32)</f>
        <v/>
      </c>
      <c r="E33" s="13">
        <f>SUM(E29:E32)</f>
        <v/>
      </c>
    </row>
    <row r="34">
      <c r="B34" s="8" t="inlineStr">
        <is>
          <t>Assumes recommended moves are executed: classes flagged for action are moved to their target weight; classes within tolerance are held and may remain slightly off target. Any net cash difference is settled from the cash account.</t>
        </is>
      </c>
    </row>
    <row r="35"/>
  </sheetData>
  <mergeCells count="12">
    <mergeCell ref="B23:E23"/>
    <mergeCell ref="B27:E27"/>
    <mergeCell ref="B1:H1"/>
    <mergeCell ref="B21:E21"/>
    <mergeCell ref="B2:H2"/>
    <mergeCell ref="C3:E3"/>
    <mergeCell ref="B24:E24"/>
    <mergeCell ref="B25:E25"/>
    <mergeCell ref="B20:E20"/>
    <mergeCell ref="B34:E35"/>
    <mergeCell ref="B22:E22"/>
    <mergeCell ref="B12:C12"/>
  </mergeCells>
  <conditionalFormatting sqref="H6:H9">
    <cfRule type="expression" priority="1" dxfId="1">
      <formula>$H6="Increase"</formula>
    </cfRule>
    <cfRule type="expression" priority="2" dxfId="0">
      <formula>$H6="Reduce"</formula>
    </cfRule>
    <cfRule type="expression" priority="3" dxfId="4">
      <formula>$H6="Hold"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B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4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</cols>
  <sheetData>
    <row r="1" ht="26" customHeight="1">
      <c r="B1" s="1" t="inlineStr">
        <is>
          <t>Performance &amp; Simulation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Performance measurement, historical allocation scenarios and growth projections.</t>
        </is>
      </c>
      <c r="C2" s="2" t="n"/>
      <c r="D2" s="2" t="n"/>
      <c r="E2" s="2" t="n"/>
      <c r="F2" s="2" t="n"/>
      <c r="G2" s="2" t="n"/>
      <c r="H2" s="2" t="n"/>
    </row>
    <row r="3">
      <c r="B3" s="17" t="inlineStr">
        <is>
          <t>Valuation Date</t>
        </is>
      </c>
      <c r="C3" s="35" t="n">
        <v>46189</v>
      </c>
    </row>
    <row r="5">
      <c r="B5" s="4" t="inlineStr">
        <is>
          <t>A.  Current Performance (per Asset Class)</t>
        </is>
      </c>
      <c r="C5" s="5" t="n"/>
      <c r="D5" s="5" t="n"/>
      <c r="E5" s="5" t="n"/>
      <c r="F5" s="5" t="n"/>
      <c r="G5" s="5" t="n"/>
      <c r="H5" s="5" t="n"/>
    </row>
    <row r="6">
      <c r="B6" s="9" t="inlineStr">
        <is>
          <t>Asset Class</t>
        </is>
      </c>
      <c r="C6" s="9" t="inlineStr">
        <is>
          <t>Initial Value (KWD)</t>
        </is>
      </c>
      <c r="D6" s="9" t="inlineStr">
        <is>
          <t>Initial Date</t>
        </is>
      </c>
      <c r="E6" s="9" t="inlineStr">
        <is>
          <t>Current Value (KWD)</t>
        </is>
      </c>
      <c r="F6" s="9" t="inlineStr">
        <is>
          <t>Gain / Loss (KWD)</t>
        </is>
      </c>
      <c r="G6" s="9" t="inlineStr">
        <is>
          <t>Return %</t>
        </is>
      </c>
      <c r="H6" s="9" t="inlineStr">
        <is>
          <t>CAGR</t>
        </is>
      </c>
    </row>
    <row r="7">
      <c r="B7" s="6" t="inlineStr">
        <is>
          <t>Gold</t>
        </is>
      </c>
      <c r="C7" s="15" t="n">
        <v>800000</v>
      </c>
      <c r="D7" s="35" t="n">
        <v>44197</v>
      </c>
      <c r="E7" s="21">
        <f>MV_Gold</f>
        <v/>
      </c>
      <c r="F7" s="31">
        <f>E7-C7</f>
        <v/>
      </c>
      <c r="G7" s="25">
        <f>IFERROR(E7/C7-1,0)</f>
        <v/>
      </c>
      <c r="H7" s="25">
        <f>IFERROR((E7/C7)^(1/YEARFRAC(D7,Val_Date,1))-1,"")</f>
        <v/>
      </c>
    </row>
    <row r="8">
      <c r="B8" s="6" t="inlineStr">
        <is>
          <t>Swiss Funds</t>
        </is>
      </c>
      <c r="C8" s="15" t="n">
        <v>1200000</v>
      </c>
      <c r="D8" s="35" t="n">
        <v>44197</v>
      </c>
      <c r="E8" s="21">
        <f>MV_Swiss</f>
        <v/>
      </c>
      <c r="F8" s="31">
        <f>E8-C8</f>
        <v/>
      </c>
      <c r="G8" s="25">
        <f>IFERROR(E8/C8-1,0)</f>
        <v/>
      </c>
      <c r="H8" s="25">
        <f>IFERROR((E8/C8)^(1/YEARFRAC(D8,Val_Date,1))-1,"")</f>
        <v/>
      </c>
    </row>
    <row r="9">
      <c r="B9" s="6" t="inlineStr">
        <is>
          <t>S&amp;P 500 ETFs</t>
        </is>
      </c>
      <c r="C9" s="15" t="n">
        <v>1800000</v>
      </c>
      <c r="D9" s="35" t="n">
        <v>44197</v>
      </c>
      <c r="E9" s="21">
        <f>MV_SP500</f>
        <v/>
      </c>
      <c r="F9" s="31">
        <f>E9-C9</f>
        <v/>
      </c>
      <c r="G9" s="25">
        <f>IFERROR(E9/C9-1,0)</f>
        <v/>
      </c>
      <c r="H9" s="25">
        <f>IFERROR((E9/C9)^(1/YEARFRAC(D9,Val_Date,1))-1,"")</f>
        <v/>
      </c>
    </row>
    <row r="10">
      <c r="B10" s="6" t="inlineStr">
        <is>
          <t>US Government Bonds</t>
        </is>
      </c>
      <c r="C10" s="15" t="n">
        <v>1500000</v>
      </c>
      <c r="D10" s="35" t="n">
        <v>44197</v>
      </c>
      <c r="E10" s="21">
        <f>MV_Bonds</f>
        <v/>
      </c>
      <c r="F10" s="31">
        <f>E10-C10</f>
        <v/>
      </c>
      <c r="G10" s="25">
        <f>IFERROR(E10/C10-1,0)</f>
        <v/>
      </c>
      <c r="H10" s="25">
        <f>IFERROR((E10/C10)^(1/YEARFRAC(D10,Val_Date,1))-1,"")</f>
        <v/>
      </c>
    </row>
    <row r="11">
      <c r="B11" s="12" t="inlineStr">
        <is>
          <t>Total</t>
        </is>
      </c>
      <c r="C11" s="23">
        <f>SUM(C7:C10)</f>
        <v/>
      </c>
      <c r="D11" s="22" t="n"/>
      <c r="E11" s="23">
        <f>SUM(E7:E10)</f>
        <v/>
      </c>
      <c r="F11" s="33">
        <f>E11-C11</f>
        <v/>
      </c>
      <c r="G11" s="26">
        <f>IFERROR(E11/C11-1,0)</f>
        <v/>
      </c>
      <c r="H11" s="26">
        <f>IFERROR((E11/C11)^(1/YEARFRAC(MIN(D7:D10),Val_Date,1))-1,"")</f>
        <v/>
      </c>
    </row>
    <row r="13">
      <c r="B13" s="4" t="inlineStr">
        <is>
          <t>B.  Portfolio Performance</t>
        </is>
      </c>
      <c r="C13" s="5" t="n"/>
      <c r="D13" s="5" t="n"/>
    </row>
    <row r="14">
      <c r="B14" s="28" t="inlineStr">
        <is>
          <t>Portfolio Initial Value (KWD)</t>
        </is>
      </c>
      <c r="C14" s="36">
        <f>SUM(C7:C10)</f>
        <v/>
      </c>
    </row>
    <row r="15">
      <c r="B15" s="28" t="inlineStr">
        <is>
          <t>Portfolio Current Value (KWD)</t>
        </is>
      </c>
      <c r="C15" s="36">
        <f>Portfolio_Total</f>
        <v/>
      </c>
    </row>
    <row r="16">
      <c r="B16" s="28" t="inlineStr">
        <is>
          <t>Portfolio Gain / Loss (KWD)</t>
        </is>
      </c>
      <c r="C16" s="37">
        <f>C15-C14</f>
        <v/>
      </c>
    </row>
    <row r="17">
      <c r="B17" s="28" t="inlineStr">
        <is>
          <t>Portfolio Return %</t>
        </is>
      </c>
      <c r="C17" s="38">
        <f>IFERROR(C15/C14-1,0)</f>
        <v/>
      </c>
    </row>
    <row r="18">
      <c r="B18" s="28" t="inlineStr">
        <is>
          <t>Portfolio Inception Date</t>
        </is>
      </c>
      <c r="C18" s="39">
        <f>MIN(D7:D10)</f>
        <v/>
      </c>
    </row>
    <row r="19">
      <c r="B19" s="28" t="inlineStr">
        <is>
          <t>Portfolio CAGR</t>
        </is>
      </c>
      <c r="C19" s="38">
        <f>IFERROR((C15/C14)^(1/YEARFRAC(C18,Val_Date,1))-1,"")</f>
        <v/>
      </c>
    </row>
    <row r="21">
      <c r="B21" s="4" t="inlineStr">
        <is>
          <t>C.  Historical Allocation Scenario</t>
        </is>
      </c>
      <c r="C21" s="5" t="n"/>
      <c r="D21" s="5" t="n"/>
      <c r="E21" s="5" t="n"/>
      <c r="F21" s="5" t="n"/>
      <c r="G21" s="5" t="n"/>
      <c r="H21" s="5" t="n"/>
    </row>
    <row r="22">
      <c r="B22" s="6" t="inlineStr">
        <is>
          <t>Start Date</t>
        </is>
      </c>
      <c r="C22" s="35" t="n">
        <v>42370</v>
      </c>
    </row>
    <row r="23">
      <c r="B23" s="6" t="inlineStr">
        <is>
          <t>End Date</t>
        </is>
      </c>
      <c r="C23" s="35" t="n">
        <v>46023</v>
      </c>
    </row>
    <row r="24">
      <c r="B24" s="6" t="inlineStr">
        <is>
          <t>Starting Capital (KWD)</t>
        </is>
      </c>
      <c r="C24" s="15" t="n">
        <v>1000000</v>
      </c>
    </row>
    <row r="25">
      <c r="B25" s="6" t="inlineStr">
        <is>
          <t>Period (years)</t>
        </is>
      </c>
      <c r="C25" s="40">
        <f>YEARFRAC(C22,C23,1)</f>
        <v/>
      </c>
    </row>
    <row r="27">
      <c r="B27" s="9" t="inlineStr">
        <is>
          <t>Asset Class</t>
        </is>
      </c>
      <c r="C27" s="9" t="inlineStr">
        <is>
          <t>Allocation %</t>
        </is>
      </c>
      <c r="D27" s="9" t="inlineStr">
        <is>
          <t>Assumed Annual Return %</t>
        </is>
      </c>
      <c r="E27" s="9" t="inlineStr">
        <is>
          <t>Growth Factor</t>
        </is>
      </c>
      <c r="F27" s="9" t="inlineStr">
        <is>
          <t>Start Allocation (KWD)</t>
        </is>
      </c>
      <c r="G27" s="9" t="inlineStr">
        <is>
          <t>Ending Value (KWD)</t>
        </is>
      </c>
      <c r="H27" s="9" t="inlineStr">
        <is>
          <t>Contribution to Return %</t>
        </is>
      </c>
    </row>
    <row r="28">
      <c r="B28" s="6" t="inlineStr">
        <is>
          <t>Gold</t>
        </is>
      </c>
      <c r="C28" s="11" t="n">
        <v>0.2</v>
      </c>
      <c r="D28" s="11" t="n">
        <v>0.06</v>
      </c>
      <c r="E28" s="41">
        <f>(1+D28)^$C$25</f>
        <v/>
      </c>
      <c r="F28" s="21">
        <f>C28*$C$24</f>
        <v/>
      </c>
      <c r="G28" s="21">
        <f>F28*E28</f>
        <v/>
      </c>
      <c r="H28" s="25">
        <f>IFERROR((G28-F28)/$C$24,0)</f>
        <v/>
      </c>
    </row>
    <row r="29">
      <c r="B29" s="6" t="inlineStr">
        <is>
          <t>Swiss Funds</t>
        </is>
      </c>
      <c r="C29" s="11" t="n">
        <v>0.2</v>
      </c>
      <c r="D29" s="11" t="n">
        <v>0.04</v>
      </c>
      <c r="E29" s="41">
        <f>(1+D29)^$C$25</f>
        <v/>
      </c>
      <c r="F29" s="21">
        <f>C29*$C$24</f>
        <v/>
      </c>
      <c r="G29" s="21">
        <f>F29*E29</f>
        <v/>
      </c>
      <c r="H29" s="25">
        <f>IFERROR((G29-F29)/$C$24,0)</f>
        <v/>
      </c>
    </row>
    <row r="30">
      <c r="B30" s="6" t="inlineStr">
        <is>
          <t>S&amp;P 500 ETFs</t>
        </is>
      </c>
      <c r="C30" s="11" t="n">
        <v>0.4</v>
      </c>
      <c r="D30" s="11" t="n">
        <v>0.09</v>
      </c>
      <c r="E30" s="41">
        <f>(1+D30)^$C$25</f>
        <v/>
      </c>
      <c r="F30" s="21">
        <f>C30*$C$24</f>
        <v/>
      </c>
      <c r="G30" s="21">
        <f>F30*E30</f>
        <v/>
      </c>
      <c r="H30" s="25">
        <f>IFERROR((G30-F30)/$C$24,0)</f>
        <v/>
      </c>
    </row>
    <row r="31">
      <c r="B31" s="6" t="inlineStr">
        <is>
          <t>US Government Bonds</t>
        </is>
      </c>
      <c r="C31" s="11" t="n">
        <v>0.2</v>
      </c>
      <c r="D31" s="11" t="n">
        <v>0.03</v>
      </c>
      <c r="E31" s="41">
        <f>(1+D31)^$C$25</f>
        <v/>
      </c>
      <c r="F31" s="21">
        <f>C31*$C$24</f>
        <v/>
      </c>
      <c r="G31" s="21">
        <f>F31*E31</f>
        <v/>
      </c>
      <c r="H31" s="25">
        <f>IFERROR((G31-F31)/$C$24,0)</f>
        <v/>
      </c>
    </row>
    <row r="32">
      <c r="B32" s="12" t="inlineStr">
        <is>
          <t>Total</t>
        </is>
      </c>
      <c r="C32" s="13">
        <f>SUM(C28:C31)</f>
        <v/>
      </c>
      <c r="D32" s="22" t="n"/>
      <c r="E32" s="22" t="n"/>
      <c r="F32" s="23">
        <f>SUM(F28:F31)</f>
        <v/>
      </c>
      <c r="G32" s="23">
        <f>SUM(G28:G31)</f>
        <v/>
      </c>
      <c r="H32" s="26">
        <f>SUM(H28:H31)</f>
        <v/>
      </c>
    </row>
    <row r="34">
      <c r="B34" s="28" t="inlineStr">
        <is>
          <t>Ending Value (KWD)</t>
        </is>
      </c>
      <c r="C34" s="36">
        <f>SUM(G28:G31)</f>
        <v/>
      </c>
    </row>
    <row r="35">
      <c r="B35" s="28" t="inlineStr">
        <is>
          <t>Total Return %</t>
        </is>
      </c>
      <c r="C35" s="38">
        <f>IFERROR(C34/C24-1,0)</f>
        <v/>
      </c>
    </row>
    <row r="36">
      <c r="B36" s="28" t="inlineStr">
        <is>
          <t>CAGR</t>
        </is>
      </c>
      <c r="C36" s="38">
        <f>IFERROR((C34/C24)^(1/C25)-1,"")</f>
        <v/>
      </c>
    </row>
    <row r="38">
      <c r="B38" s="4" t="inlineStr">
        <is>
          <t>D.  Growth Comparison &amp; Projection</t>
        </is>
      </c>
      <c r="C38" s="5" t="n"/>
      <c r="D38" s="5" t="n"/>
      <c r="E38" s="5" t="n"/>
      <c r="F38" s="5" t="n"/>
      <c r="G38" s="5" t="n"/>
      <c r="H38" s="5" t="n"/>
    </row>
    <row r="39">
      <c r="B39" s="6" t="inlineStr">
        <is>
          <t>Projection Horizon (years)</t>
        </is>
      </c>
      <c r="C39" s="42" t="n">
        <v>10</v>
      </c>
    </row>
    <row r="40">
      <c r="B40" s="8" t="inlineStr">
        <is>
          <t>Projections compound the Expected Annual Returns from Settings. Portfolio uses the strategic target weights.</t>
        </is>
      </c>
    </row>
    <row r="42">
      <c r="B42" s="9" t="inlineStr">
        <is>
          <t>Base Amount (KWD)</t>
        </is>
      </c>
      <c r="C42" s="9" t="inlineStr">
        <is>
          <t>Gold</t>
        </is>
      </c>
      <c r="D42" s="9" t="inlineStr">
        <is>
          <t>Swiss Funds</t>
        </is>
      </c>
      <c r="E42" s="9" t="inlineStr">
        <is>
          <t>S&amp;P 500 ETFs</t>
        </is>
      </c>
      <c r="F42" s="9" t="inlineStr">
        <is>
          <t>US Gov Bonds</t>
        </is>
      </c>
      <c r="G42" s="9" t="inlineStr">
        <is>
          <t>Portfolio</t>
        </is>
      </c>
    </row>
    <row r="43">
      <c r="B43" s="30" t="n">
        <v>1</v>
      </c>
      <c r="C43" s="21">
        <f>$B43*(1+ExpRet_Gold)^$C$39</f>
        <v/>
      </c>
      <c r="D43" s="21">
        <f>$B43*(1+ExpRet_Swiss)^$C$39</f>
        <v/>
      </c>
      <c r="E43" s="21">
        <f>$B43*(1+ExpRet_SP500)^$C$39</f>
        <v/>
      </c>
      <c r="F43" s="21">
        <f>$B43*(1+ExpRet_Bonds)^$C$39</f>
        <v/>
      </c>
      <c r="G43" s="21">
        <f>$B43*SUMPRODUCT(Targets,(1+ExpReturns)^$C$39)</f>
        <v/>
      </c>
    </row>
    <row r="44">
      <c r="B44" s="30" t="n">
        <v>100000</v>
      </c>
      <c r="C44" s="21">
        <f>$B44*(1+ExpRet_Gold)^$C$39</f>
        <v/>
      </c>
      <c r="D44" s="21">
        <f>$B44*(1+ExpRet_Swiss)^$C$39</f>
        <v/>
      </c>
      <c r="E44" s="21">
        <f>$B44*(1+ExpRet_SP500)^$C$39</f>
        <v/>
      </c>
      <c r="F44" s="21">
        <f>$B44*(1+ExpRet_Bonds)^$C$39</f>
        <v/>
      </c>
      <c r="G44" s="21">
        <f>$B44*SUMPRODUCT(Targets,(1+ExpReturns)^$C$39)</f>
        <v/>
      </c>
    </row>
    <row r="45">
      <c r="B45" s="30" t="n">
        <v>1000000</v>
      </c>
      <c r="C45" s="21">
        <f>$B45*(1+ExpRet_Gold)^$C$39</f>
        <v/>
      </c>
      <c r="D45" s="21">
        <f>$B45*(1+ExpRet_Swiss)^$C$39</f>
        <v/>
      </c>
      <c r="E45" s="21">
        <f>$B45*(1+ExpRet_SP500)^$C$39</f>
        <v/>
      </c>
      <c r="F45" s="21">
        <f>$B45*(1+ExpRet_Bonds)^$C$39</f>
        <v/>
      </c>
      <c r="G45" s="21">
        <f>$B45*SUMPRODUCT(Targets,(1+ExpReturns)^$C$39)</f>
        <v/>
      </c>
    </row>
    <row r="47">
      <c r="B47" s="8" t="inlineStr">
        <is>
          <t>Year-by-year growth of 1,000,000 KWD (projection chart source):</t>
        </is>
      </c>
    </row>
    <row r="48">
      <c r="B48" s="9" t="inlineStr">
        <is>
          <t>Year</t>
        </is>
      </c>
      <c r="C48" s="9" t="inlineStr">
        <is>
          <t>Gold</t>
        </is>
      </c>
      <c r="D48" s="9" t="inlineStr">
        <is>
          <t>Swiss Funds</t>
        </is>
      </c>
      <c r="E48" s="9" t="inlineStr">
        <is>
          <t>S&amp;P 500 ETFs</t>
        </is>
      </c>
      <c r="F48" s="9" t="inlineStr">
        <is>
          <t>US Gov Bonds</t>
        </is>
      </c>
      <c r="G48" s="9" t="inlineStr">
        <is>
          <t>Portfolio</t>
        </is>
      </c>
    </row>
    <row r="49">
      <c r="B49" s="43" t="n">
        <v>0</v>
      </c>
      <c r="C49" s="21">
        <f>1000000*(1+ExpRet_Gold)^$B49</f>
        <v/>
      </c>
      <c r="D49" s="21">
        <f>1000000*(1+ExpRet_Swiss)^$B49</f>
        <v/>
      </c>
      <c r="E49" s="21">
        <f>1000000*(1+ExpRet_SP500)^$B49</f>
        <v/>
      </c>
      <c r="F49" s="21">
        <f>1000000*(1+ExpRet_Bonds)^$B49</f>
        <v/>
      </c>
      <c r="G49" s="21">
        <f>1000000*SUMPRODUCT(Targets,(1+ExpReturns)^$B49)</f>
        <v/>
      </c>
    </row>
    <row r="50">
      <c r="B50" s="43" t="n">
        <v>1</v>
      </c>
      <c r="C50" s="21">
        <f>1000000*(1+ExpRet_Gold)^$B50</f>
        <v/>
      </c>
      <c r="D50" s="21">
        <f>1000000*(1+ExpRet_Swiss)^$B50</f>
        <v/>
      </c>
      <c r="E50" s="21">
        <f>1000000*(1+ExpRet_SP500)^$B50</f>
        <v/>
      </c>
      <c r="F50" s="21">
        <f>1000000*(1+ExpRet_Bonds)^$B50</f>
        <v/>
      </c>
      <c r="G50" s="21">
        <f>1000000*SUMPRODUCT(Targets,(1+ExpReturns)^$B50)</f>
        <v/>
      </c>
    </row>
    <row r="51">
      <c r="B51" s="43" t="n">
        <v>2</v>
      </c>
      <c r="C51" s="21">
        <f>1000000*(1+ExpRet_Gold)^$B51</f>
        <v/>
      </c>
      <c r="D51" s="21">
        <f>1000000*(1+ExpRet_Swiss)^$B51</f>
        <v/>
      </c>
      <c r="E51" s="21">
        <f>1000000*(1+ExpRet_SP500)^$B51</f>
        <v/>
      </c>
      <c r="F51" s="21">
        <f>1000000*(1+ExpRet_Bonds)^$B51</f>
        <v/>
      </c>
      <c r="G51" s="21">
        <f>1000000*SUMPRODUCT(Targets,(1+ExpReturns)^$B51)</f>
        <v/>
      </c>
    </row>
    <row r="52">
      <c r="B52" s="43" t="n">
        <v>3</v>
      </c>
      <c r="C52" s="21">
        <f>1000000*(1+ExpRet_Gold)^$B52</f>
        <v/>
      </c>
      <c r="D52" s="21">
        <f>1000000*(1+ExpRet_Swiss)^$B52</f>
        <v/>
      </c>
      <c r="E52" s="21">
        <f>1000000*(1+ExpRet_SP500)^$B52</f>
        <v/>
      </c>
      <c r="F52" s="21">
        <f>1000000*(1+ExpRet_Bonds)^$B52</f>
        <v/>
      </c>
      <c r="G52" s="21">
        <f>1000000*SUMPRODUCT(Targets,(1+ExpReturns)^$B52)</f>
        <v/>
      </c>
    </row>
    <row r="53">
      <c r="B53" s="43" t="n">
        <v>4</v>
      </c>
      <c r="C53" s="21">
        <f>1000000*(1+ExpRet_Gold)^$B53</f>
        <v/>
      </c>
      <c r="D53" s="21">
        <f>1000000*(1+ExpRet_Swiss)^$B53</f>
        <v/>
      </c>
      <c r="E53" s="21">
        <f>1000000*(1+ExpRet_SP500)^$B53</f>
        <v/>
      </c>
      <c r="F53" s="21">
        <f>1000000*(1+ExpRet_Bonds)^$B53</f>
        <v/>
      </c>
      <c r="G53" s="21">
        <f>1000000*SUMPRODUCT(Targets,(1+ExpReturns)^$B53)</f>
        <v/>
      </c>
    </row>
    <row r="54">
      <c r="B54" s="43" t="n">
        <v>5</v>
      </c>
      <c r="C54" s="21">
        <f>1000000*(1+ExpRet_Gold)^$B54</f>
        <v/>
      </c>
      <c r="D54" s="21">
        <f>1000000*(1+ExpRet_Swiss)^$B54</f>
        <v/>
      </c>
      <c r="E54" s="21">
        <f>1000000*(1+ExpRet_SP500)^$B54</f>
        <v/>
      </c>
      <c r="F54" s="21">
        <f>1000000*(1+ExpRet_Bonds)^$B54</f>
        <v/>
      </c>
      <c r="G54" s="21">
        <f>1000000*SUMPRODUCT(Targets,(1+ExpReturns)^$B54)</f>
        <v/>
      </c>
    </row>
    <row r="55">
      <c r="B55" s="43" t="n">
        <v>6</v>
      </c>
      <c r="C55" s="21">
        <f>1000000*(1+ExpRet_Gold)^$B55</f>
        <v/>
      </c>
      <c r="D55" s="21">
        <f>1000000*(1+ExpRet_Swiss)^$B55</f>
        <v/>
      </c>
      <c r="E55" s="21">
        <f>1000000*(1+ExpRet_SP500)^$B55</f>
        <v/>
      </c>
      <c r="F55" s="21">
        <f>1000000*(1+ExpRet_Bonds)^$B55</f>
        <v/>
      </c>
      <c r="G55" s="21">
        <f>1000000*SUMPRODUCT(Targets,(1+ExpReturns)^$B55)</f>
        <v/>
      </c>
    </row>
    <row r="56">
      <c r="B56" s="43" t="n">
        <v>7</v>
      </c>
      <c r="C56" s="21">
        <f>1000000*(1+ExpRet_Gold)^$B56</f>
        <v/>
      </c>
      <c r="D56" s="21">
        <f>1000000*(1+ExpRet_Swiss)^$B56</f>
        <v/>
      </c>
      <c r="E56" s="21">
        <f>1000000*(1+ExpRet_SP500)^$B56</f>
        <v/>
      </c>
      <c r="F56" s="21">
        <f>1000000*(1+ExpRet_Bonds)^$B56</f>
        <v/>
      </c>
      <c r="G56" s="21">
        <f>1000000*SUMPRODUCT(Targets,(1+ExpReturns)^$B56)</f>
        <v/>
      </c>
    </row>
    <row r="57">
      <c r="B57" s="43" t="n">
        <v>8</v>
      </c>
      <c r="C57" s="21">
        <f>1000000*(1+ExpRet_Gold)^$B57</f>
        <v/>
      </c>
      <c r="D57" s="21">
        <f>1000000*(1+ExpRet_Swiss)^$B57</f>
        <v/>
      </c>
      <c r="E57" s="21">
        <f>1000000*(1+ExpRet_SP500)^$B57</f>
        <v/>
      </c>
      <c r="F57" s="21">
        <f>1000000*(1+ExpRet_Bonds)^$B57</f>
        <v/>
      </c>
      <c r="G57" s="21">
        <f>1000000*SUMPRODUCT(Targets,(1+ExpReturns)^$B57)</f>
        <v/>
      </c>
    </row>
    <row r="58">
      <c r="B58" s="43" t="n">
        <v>9</v>
      </c>
      <c r="C58" s="21">
        <f>1000000*(1+ExpRet_Gold)^$B58</f>
        <v/>
      </c>
      <c r="D58" s="21">
        <f>1000000*(1+ExpRet_Swiss)^$B58</f>
        <v/>
      </c>
      <c r="E58" s="21">
        <f>1000000*(1+ExpRet_SP500)^$B58</f>
        <v/>
      </c>
      <c r="F58" s="21">
        <f>1000000*(1+ExpRet_Bonds)^$B58</f>
        <v/>
      </c>
      <c r="G58" s="21">
        <f>1000000*SUMPRODUCT(Targets,(1+ExpReturns)^$B58)</f>
        <v/>
      </c>
    </row>
    <row r="59">
      <c r="B59" s="43" t="n">
        <v>10</v>
      </c>
      <c r="C59" s="21">
        <f>1000000*(1+ExpRet_Gold)^$B59</f>
        <v/>
      </c>
      <c r="D59" s="21">
        <f>1000000*(1+ExpRet_Swiss)^$B59</f>
        <v/>
      </c>
      <c r="E59" s="21">
        <f>1000000*(1+ExpRet_SP500)^$B59</f>
        <v/>
      </c>
      <c r="F59" s="21">
        <f>1000000*(1+ExpRet_Bonds)^$B59</f>
        <v/>
      </c>
      <c r="G59" s="21">
        <f>1000000*SUMPRODUCT(Targets,(1+ExpReturns)^$B59)</f>
        <v/>
      </c>
    </row>
  </sheetData>
  <mergeCells count="8">
    <mergeCell ref="B40:H40"/>
    <mergeCell ref="B1:H1"/>
    <mergeCell ref="B21:H21"/>
    <mergeCell ref="B13:D13"/>
    <mergeCell ref="B2:H2"/>
    <mergeCell ref="B38:H38"/>
    <mergeCell ref="B47:H47"/>
    <mergeCell ref="B5:H5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2026-06-16T09:21:25Z</dcterms:created>
  <dcterms:modified xsi:type="dcterms:W3CDTF">2026-06-16T09:21:25Z</dcterms:modified>
</cp:coreProperties>
</file>